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Analytics\"/>
    </mc:Choice>
  </mc:AlternateContent>
  <bookViews>
    <workbookView xWindow="0" yWindow="0" windowWidth="19200" windowHeight="6900"/>
  </bookViews>
  <sheets>
    <sheet name="Dataset" sheetId="1" r:id="rId1"/>
  </sheets>
  <calcPr calcId="152511"/>
  <extLs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2" i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2" i="1"/>
  <c r="O2" i="1"/>
  <c r="I9" i="1"/>
  <c r="H9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4" i="1"/>
  <c r="L5" i="1"/>
  <c r="L6" i="1"/>
  <c r="L7" i="1"/>
  <c r="L3" i="1"/>
  <c r="L2" i="1"/>
  <c r="I6" i="1"/>
  <c r="H6" i="1"/>
  <c r="J3" i="1"/>
  <c r="I3" i="1"/>
  <c r="H3" i="1"/>
</calcChain>
</file>

<file path=xl/sharedStrings.xml><?xml version="1.0" encoding="utf-8"?>
<sst xmlns="http://schemas.openxmlformats.org/spreadsheetml/2006/main" count="153" uniqueCount="104">
  <si>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</si>
  <si>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</si>
  <si>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</si>
  <si>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</si>
  <si>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</si>
  <si>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</si>
  <si>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</si>
  <si>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</si>
  <si>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</si>
  <si>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</si>
  <si>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</si>
  <si>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</si>
  <si>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</si>
  <si>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</si>
  <si>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</si>
  <si>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</si>
  <si>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</si>
  <si>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</si>
  <si>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</si>
  <si>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</si>
  <si>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</si>
  <si>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</si>
  <si>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</si>
  <si>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</si>
  <si>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</si>
  <si>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</si>
  <si>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</si>
  <si>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</si>
  <si>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</si>
  <si>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</si>
  <si>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</si>
  <si>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</si>
  <si>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</si>
  <si>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</si>
  <si>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</si>
  <si>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</si>
  <si>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</si>
  <si>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</si>
  <si>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</si>
  <si>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</si>
  <si>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</si>
  <si>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</si>
  <si>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</si>
  <si>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</si>
  <si>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</si>
  <si>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</si>
  <si>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</si>
  <si>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</si>
  <si>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</si>
  <si>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</si>
  <si>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</si>
  <si>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</si>
  <si>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</si>
  <si>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</si>
  <si>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</si>
  <si>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</si>
  <si>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</si>
  <si>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</si>
  <si>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</si>
  <si>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</si>
  <si>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</si>
  <si>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</si>
  <si>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</si>
  <si>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</si>
  <si>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</si>
  <si>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</si>
  <si>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</si>
  <si>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</si>
  <si>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</si>
  <si>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</si>
  <si>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</si>
  <si>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</si>
  <si>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</si>
  <si>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</si>
  <si>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</si>
  <si>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</si>
  <si>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</si>
  <si>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</si>
  <si>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</si>
  <si>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</si>
  <si>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</si>
  <si>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</si>
  <si>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</si>
  <si>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</si>
  <si>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</si>
  <si>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</si>
  <si>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</si>
  <si>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</si>
  <si>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</si>
  <si>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</si>
  <si>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</si>
  <si>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</si>
  <si>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</si>
  <si>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</si>
  <si>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COUNT</t>
  </si>
  <si>
    <t>AVERAGE</t>
  </si>
  <si>
    <t>MIN</t>
  </si>
  <si>
    <t>MAX</t>
  </si>
  <si>
    <t>IF</t>
  </si>
  <si>
    <t>SUMIF</t>
  </si>
  <si>
    <t>COUNTIF</t>
  </si>
  <si>
    <t>RIGHT</t>
  </si>
  <si>
    <t>MID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</si>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</sst>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 applyAlignment="1"/>
    <xf numFmtId="0" fontId="0" fillId="0" borderId="1" xfId="0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Dataset_1" displayName="Dataset_1" ref="A1:F35" totalsRowShown="0" headerRowDxfId="7" dataDxfId="6">
  <autoFilter ref="A1:F35"/>
  <tableColumns count="6">
    <tableColumn id="1" name="Product ID" dataDxfId="5"/>
    <tableColumn id="2" name="Product Name" dataDxfId="4"/>
    <tableColumn id="3" name="Brand Name" dataDxfId="3"/>
    <tableColumn id="4" name="Price ($)" dataDxfId="2"/>
    <tableColumn id="5" name="Quantity" dataDxfId="1"/>
    <tableColumn id="6" name="Categ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00"/>
  <sheetViews>
    <sheetView tabSelected="1" topLeftCell="C1" zoomScaleNormal="100" workbookViewId="0">
      <selection activeCell="J9" sqref="J9"/>
    </sheetView>
  </sheetViews>
  <sheetFormatPr defaultColWidth="12.6328125" defaultRowHeight="15" customHeight="1" x14ac:dyDescent="0.25"/>
  <cols>
    <col min="2" max="2" width="15" customWidth="1"/>
    <col min="3" max="3" width="13.36328125" customWidth="1"/>
    <col min="7" max="7" width="7.453125" customWidth="1"/>
    <col min="10" max="10" width="13.7265625" customWidth="1"/>
    <col min="11" max="11" width="8.08984375" customWidth="1"/>
    <col min="12" max="12" width="17.1796875" style="8" customWidth="1"/>
    <col min="13" max="13" width="4.81640625" customWidth="1"/>
    <col min="14" max="14" width="9.54296875" customWidth="1"/>
    <col min="15" max="15" width="11.54296875" customWidth="1"/>
    <col min="16" max="16" width="11.26953125" customWidth="1"/>
  </cols>
  <sheetData>
    <row r="1" spans="1:1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L1" s="9" t="s">
        <v>98</v>
      </c>
      <c r="N1" s="9" t="s">
        <v>103</v>
      </c>
      <c r="O1" s="9" t="s">
        <v>101</v>
      </c>
      <c r="P1" s="9" t="s">
        <v>102</v>
      </c>
    </row>
    <row r="2" spans="1:16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  <c r="H2" s="9" t="s">
        <v>93</v>
      </c>
      <c r="I2" s="9" t="s">
        <v>94</v>
      </c>
      <c r="J2" s="9" t="s">
        <v>95</v>
      </c>
      <c r="L2" s="6" t="str">
        <f>IF(Dataset_1[Price ($)]&gt;=500,"High Price","Standard price")</f>
        <v>High Price</v>
      </c>
      <c r="N2" s="6" t="str">
        <f>LEFT(Dataset_1[Product ID],"2")</f>
        <v>28</v>
      </c>
      <c r="O2" s="6" t="str">
        <f>RIGHT(Dataset_1[Product ID],"2")</f>
        <v>US</v>
      </c>
      <c r="P2" s="6" t="str">
        <f>MID(Dataset_1[Product ID],4,3)</f>
        <v>JAN</v>
      </c>
    </row>
    <row r="3" spans="1:16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  <c r="H3" s="6">
        <f>SUM(Dataset_1[Price ($)])</f>
        <v>10100</v>
      </c>
      <c r="I3" s="6">
        <f>COUNTA(Dataset_1[Product Name])</f>
        <v>34</v>
      </c>
      <c r="J3" s="7">
        <f>AVERAGE(Dataset_1[Price ($)])</f>
        <v>297.05882352941177</v>
      </c>
      <c r="L3" s="6" t="str">
        <f>IF(Dataset_1[Price ($)]&gt;=500,"High Price","Standard price")</f>
        <v>Standard price</v>
      </c>
      <c r="N3" s="6" t="str">
        <f>LEFT(Dataset_1[Product ID],"2")</f>
        <v>15</v>
      </c>
      <c r="O3" s="6" t="str">
        <f>RIGHT(Dataset_1[Product ID],"2")</f>
        <v>US</v>
      </c>
      <c r="P3" s="6" t="str">
        <f>MID(Dataset_1[Product ID],4,3)</f>
        <v>FEB</v>
      </c>
    </row>
    <row r="4" spans="1:16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  <c r="L4" s="6" t="str">
        <f>IF(Dataset_1[Price ($)]&gt;=500,"High Price","Standard price")</f>
        <v>Standard price</v>
      </c>
      <c r="N4" s="6" t="str">
        <f>LEFT(Dataset_1[Product ID],"2")</f>
        <v>03</v>
      </c>
      <c r="O4" s="6" t="str">
        <f>RIGHT(Dataset_1[Product ID],"2")</f>
        <v>US</v>
      </c>
      <c r="P4" s="6" t="str">
        <f>MID(Dataset_1[Product ID],4,3)</f>
        <v>MAR</v>
      </c>
    </row>
    <row r="5" spans="1:16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  <c r="H5" s="9" t="s">
        <v>96</v>
      </c>
      <c r="I5" s="9" t="s">
        <v>97</v>
      </c>
      <c r="L5" s="6" t="str">
        <f>IF(Dataset_1[Price ($)]&gt;=500,"High Price","Standard price")</f>
        <v>High Price</v>
      </c>
      <c r="N5" s="6" t="str">
        <f>LEFT(Dataset_1[Product ID],"2")</f>
        <v>11</v>
      </c>
      <c r="O5" s="6" t="str">
        <f>RIGHT(Dataset_1[Product ID],"2")</f>
        <v>US</v>
      </c>
      <c r="P5" s="6" t="str">
        <f>MID(Dataset_1[Product ID],4,3)</f>
        <v>APR</v>
      </c>
    </row>
    <row r="6" spans="1:16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  <c r="H6" s="6">
        <f>MIN(Dataset_1[Price ($)])</f>
        <v>30</v>
      </c>
      <c r="I6" s="6">
        <f>MAX(Dataset_1[Price ($)])</f>
        <v>1000</v>
      </c>
      <c r="L6" s="6" t="str">
        <f>IF(Dataset_1[Price ($)]&gt;=500,"High Price","Standard price")</f>
        <v>Standard price</v>
      </c>
      <c r="N6" s="6" t="str">
        <f>LEFT(Dataset_1[Product ID],"2")</f>
        <v>22</v>
      </c>
      <c r="O6" s="6" t="str">
        <f>RIGHT(Dataset_1[Product ID],"2")</f>
        <v>US</v>
      </c>
      <c r="P6" s="6" t="str">
        <f>MID(Dataset_1[Product ID],4,3)</f>
        <v>MAY</v>
      </c>
    </row>
    <row r="7" spans="1:16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  <c r="L7" s="6" t="str">
        <f>IF(Dataset_1[Price ($)]&gt;=500,"High Price","Standard price")</f>
        <v>Standard price</v>
      </c>
      <c r="N7" s="6" t="str">
        <f>LEFT(Dataset_1[Product ID],"2")</f>
        <v>07</v>
      </c>
      <c r="O7" s="6" t="str">
        <f>RIGHT(Dataset_1[Product ID],"2")</f>
        <v>UK</v>
      </c>
      <c r="P7" s="6" t="str">
        <f>MID(Dataset_1[Product ID],4,3)</f>
        <v>JUN</v>
      </c>
    </row>
    <row r="8" spans="1:16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  <c r="H8" s="9" t="s">
        <v>99</v>
      </c>
      <c r="I8" s="9" t="s">
        <v>100</v>
      </c>
      <c r="L8" s="6" t="str">
        <f>IF(Dataset_1[Price ($)]&gt;=500,"High Price","Standard price")</f>
        <v>Standard price</v>
      </c>
      <c r="N8" s="6" t="str">
        <f>LEFT(Dataset_1[Product ID],"2")</f>
        <v>19</v>
      </c>
      <c r="O8" s="6" t="str">
        <f>RIGHT(Dataset_1[Product ID],"2")</f>
        <v>UK</v>
      </c>
      <c r="P8" s="6" t="str">
        <f>MID(Dataset_1[Product ID],4,3)</f>
        <v>JUL</v>
      </c>
    </row>
    <row r="9" spans="1:16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  <c r="H9" s="6">
        <f>SUMIF(Dataset_1[Category],"Electronics",Dataset_1[Price ($)])</f>
        <v>8050</v>
      </c>
      <c r="I9" s="6">
        <f>COUNTIF(Dataset_1[Price ($)],"&lt;100")</f>
        <v>11</v>
      </c>
      <c r="L9" s="6" t="str">
        <f>IF(Dataset_1[Price ($)]&gt;=500,"High Price","Standard price")</f>
        <v>Standard price</v>
      </c>
      <c r="N9" s="6" t="str">
        <f>LEFT(Dataset_1[Product ID],"2")</f>
        <v>23</v>
      </c>
      <c r="O9" s="6" t="str">
        <f>RIGHT(Dataset_1[Product ID],"2")</f>
        <v>UK</v>
      </c>
      <c r="P9" s="6" t="str">
        <f>MID(Dataset_1[Product ID],4,3)</f>
        <v>AUG</v>
      </c>
    </row>
    <row r="10" spans="1:16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  <c r="L10" s="6" t="str">
        <f>IF(Dataset_1[Price ($)]&gt;=500,"High Price","Standard price")</f>
        <v>High Price</v>
      </c>
      <c r="N10" s="6" t="str">
        <f>LEFT(Dataset_1[Product ID],"2")</f>
        <v>05</v>
      </c>
      <c r="O10" s="6" t="str">
        <f>RIGHT(Dataset_1[Product ID],"2")</f>
        <v>UK</v>
      </c>
      <c r="P10" s="6" t="str">
        <f>MID(Dataset_1[Product ID],4,3)</f>
        <v>SEP</v>
      </c>
    </row>
    <row r="11" spans="1:16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  <c r="L11" s="6" t="str">
        <f>IF(Dataset_1[Price ($)]&gt;=500,"High Price","Standard price")</f>
        <v>Standard price</v>
      </c>
      <c r="N11" s="6" t="str">
        <f>LEFT(Dataset_1[Product ID],"2")</f>
        <v>14</v>
      </c>
      <c r="O11" s="6" t="str">
        <f>RIGHT(Dataset_1[Product ID],"2")</f>
        <v>UK</v>
      </c>
      <c r="P11" s="6" t="str">
        <f>MID(Dataset_1[Product ID],4,3)</f>
        <v>OCT</v>
      </c>
    </row>
    <row r="12" spans="1:16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  <c r="L12" s="6" t="str">
        <f>IF(Dataset_1[Price ($)]&gt;=500,"High Price","Standard price")</f>
        <v>High Price</v>
      </c>
      <c r="N12" s="6" t="str">
        <f>LEFT(Dataset_1[Product ID],"2")</f>
        <v>17</v>
      </c>
      <c r="O12" s="6" t="str">
        <f>RIGHT(Dataset_1[Product ID],"2")</f>
        <v>IN</v>
      </c>
      <c r="P12" s="6" t="str">
        <f>MID(Dataset_1[Product ID],4,3)</f>
        <v>JUN</v>
      </c>
    </row>
    <row r="13" spans="1:16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  <c r="L13" s="6" t="str">
        <f>IF(Dataset_1[Price ($)]&gt;=500,"High Price","Standard price")</f>
        <v>Standard price</v>
      </c>
      <c r="N13" s="6" t="str">
        <f>LEFT(Dataset_1[Product ID],"2")</f>
        <v>25</v>
      </c>
      <c r="O13" s="6" t="str">
        <f>RIGHT(Dataset_1[Product ID],"2")</f>
        <v>AU</v>
      </c>
      <c r="P13" s="6" t="str">
        <f>MID(Dataset_1[Product ID],4,3)</f>
        <v>NOV</v>
      </c>
    </row>
    <row r="14" spans="1:16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  <c r="L14" s="6" t="str">
        <f>IF(Dataset_1[Price ($)]&gt;=500,"High Price","Standard price")</f>
        <v>Standard price</v>
      </c>
      <c r="N14" s="6" t="str">
        <f>LEFT(Dataset_1[Product ID],"2")</f>
        <v>08</v>
      </c>
      <c r="O14" s="6" t="str">
        <f>RIGHT(Dataset_1[Product ID],"2")</f>
        <v>DE</v>
      </c>
      <c r="P14" s="6" t="str">
        <f>MID(Dataset_1[Product ID],4,3)</f>
        <v>DEC</v>
      </c>
    </row>
    <row r="15" spans="1:16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  <c r="L15" s="6" t="str">
        <f>IF(Dataset_1[Price ($)]&gt;=500,"High Price","Standard price")</f>
        <v>Standard price</v>
      </c>
      <c r="N15" s="6" t="str">
        <f>LEFT(Dataset_1[Product ID],"2")</f>
        <v>18</v>
      </c>
      <c r="O15" s="6" t="str">
        <f>RIGHT(Dataset_1[Product ID],"2")</f>
        <v>CA</v>
      </c>
      <c r="P15" s="6" t="str">
        <f>MID(Dataset_1[Product ID],4,3)</f>
        <v>FEB</v>
      </c>
    </row>
    <row r="16" spans="1:16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  <c r="L16" s="6" t="str">
        <f>IF(Dataset_1[Price ($)]&gt;=500,"High Price","Standard price")</f>
        <v>Standard price</v>
      </c>
      <c r="N16" s="6" t="str">
        <f>LEFT(Dataset_1[Product ID],"2")</f>
        <v>16</v>
      </c>
      <c r="O16" s="6" t="str">
        <f>RIGHT(Dataset_1[Product ID],"2")</f>
        <v>ES</v>
      </c>
      <c r="P16" s="6" t="str">
        <f>MID(Dataset_1[Product ID],4,3)</f>
        <v>APR</v>
      </c>
    </row>
    <row r="17" spans="1:16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  <c r="L17" s="6" t="str">
        <f>IF(Dataset_1[Price ($)]&gt;=500,"High Price","Standard price")</f>
        <v>Standard price</v>
      </c>
      <c r="N17" s="6" t="str">
        <f>LEFT(Dataset_1[Product ID],"2")</f>
        <v>21</v>
      </c>
      <c r="O17" s="6" t="str">
        <f>RIGHT(Dataset_1[Product ID],"2")</f>
        <v>CA</v>
      </c>
      <c r="P17" s="6" t="str">
        <f>MID(Dataset_1[Product ID],4,3)</f>
        <v>AUG</v>
      </c>
    </row>
    <row r="18" spans="1:16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  <c r="L18" s="6" t="str">
        <f>IF(Dataset_1[Price ($)]&gt;=500,"High Price","Standard price")</f>
        <v>Standard price</v>
      </c>
      <c r="N18" s="6" t="str">
        <f>LEFT(Dataset_1[Product ID],"2")</f>
        <v>20</v>
      </c>
      <c r="O18" s="6" t="str">
        <f>RIGHT(Dataset_1[Product ID],"2")</f>
        <v>CN</v>
      </c>
      <c r="P18" s="6" t="str">
        <f>MID(Dataset_1[Product ID],4,3)</f>
        <v>AUG</v>
      </c>
    </row>
    <row r="19" spans="1:16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  <c r="L19" s="6" t="str">
        <f>IF(Dataset_1[Price ($)]&gt;=500,"High Price","Standard price")</f>
        <v>High Price</v>
      </c>
      <c r="N19" s="6" t="str">
        <f>LEFT(Dataset_1[Product ID],"2")</f>
        <v>27</v>
      </c>
      <c r="O19" s="6" t="str">
        <f>RIGHT(Dataset_1[Product ID],"2")</f>
        <v>IT</v>
      </c>
      <c r="P19" s="6" t="str">
        <f>MID(Dataset_1[Product ID],4,3)</f>
        <v>JAN</v>
      </c>
    </row>
    <row r="20" spans="1:16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  <c r="L20" s="6" t="str">
        <f>IF(Dataset_1[Price ($)]&gt;=500,"High Price","Standard price")</f>
        <v>Standard price</v>
      </c>
      <c r="N20" s="6" t="str">
        <f>LEFT(Dataset_1[Product ID],"2")</f>
        <v>01</v>
      </c>
      <c r="O20" s="6" t="str">
        <f>RIGHT(Dataset_1[Product ID],"2")</f>
        <v>UK</v>
      </c>
      <c r="P20" s="6" t="str">
        <f>MID(Dataset_1[Product ID],4,3)</f>
        <v>MAR</v>
      </c>
    </row>
    <row r="21" spans="1:16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  <c r="L21" s="6" t="str">
        <f>IF(Dataset_1[Price ($)]&gt;=500,"High Price","Standard price")</f>
        <v>Standard price</v>
      </c>
      <c r="N21" s="6" t="str">
        <f>LEFT(Dataset_1[Product ID],"2")</f>
        <v>14</v>
      </c>
      <c r="O21" s="6" t="str">
        <f>RIGHT(Dataset_1[Product ID],"2")</f>
        <v>US</v>
      </c>
      <c r="P21" s="6" t="str">
        <f>MID(Dataset_1[Product ID],4,3)</f>
        <v>AUG</v>
      </c>
    </row>
    <row r="22" spans="1:16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  <c r="L22" s="6" t="str">
        <f>IF(Dataset_1[Price ($)]&gt;=500,"High Price","Standard price")</f>
        <v>High Price</v>
      </c>
      <c r="N22" s="6" t="str">
        <f>LEFT(Dataset_1[Product ID],"2")</f>
        <v>14</v>
      </c>
      <c r="O22" s="6" t="str">
        <f>RIGHT(Dataset_1[Product ID],"2")</f>
        <v>RU</v>
      </c>
      <c r="P22" s="6" t="str">
        <f>MID(Dataset_1[Product ID],4,3)</f>
        <v>MAY</v>
      </c>
    </row>
    <row r="23" spans="1:16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  <c r="L23" s="6" t="str">
        <f>IF(Dataset_1[Price ($)]&gt;=500,"High Price","Standard price")</f>
        <v>Standard price</v>
      </c>
      <c r="N23" s="6" t="str">
        <f>LEFT(Dataset_1[Product ID],"2")</f>
        <v>09</v>
      </c>
      <c r="O23" s="6" t="str">
        <f>RIGHT(Dataset_1[Product ID],"2")</f>
        <v>CA</v>
      </c>
      <c r="P23" s="6" t="str">
        <f>MID(Dataset_1[Product ID],4,3)</f>
        <v>JAN</v>
      </c>
    </row>
    <row r="24" spans="1:16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  <c r="L24" s="6" t="str">
        <f>IF(Dataset_1[Price ($)]&gt;=500,"High Price","Standard price")</f>
        <v>Standard price</v>
      </c>
      <c r="N24" s="6" t="str">
        <f>LEFT(Dataset_1[Product ID],"2")</f>
        <v>19</v>
      </c>
      <c r="O24" s="6" t="str">
        <f>RIGHT(Dataset_1[Product ID],"2")</f>
        <v>BR</v>
      </c>
      <c r="P24" s="6" t="str">
        <f>MID(Dataset_1[Product ID],4,3)</f>
        <v>JUL</v>
      </c>
    </row>
    <row r="25" spans="1:16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  <c r="L25" s="6" t="str">
        <f>IF(Dataset_1[Price ($)]&gt;=500,"High Price","Standard price")</f>
        <v>Standard price</v>
      </c>
      <c r="N25" s="6" t="str">
        <f>LEFT(Dataset_1[Product ID],"2")</f>
        <v>21</v>
      </c>
      <c r="O25" s="6" t="str">
        <f>RIGHT(Dataset_1[Product ID],"2")</f>
        <v>CA</v>
      </c>
      <c r="P25" s="6" t="str">
        <f>MID(Dataset_1[Product ID],4,3)</f>
        <v>AUG</v>
      </c>
    </row>
    <row r="26" spans="1:16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  <c r="L26" s="6" t="str">
        <f>IF(Dataset_1[Price ($)]&gt;=500,"High Price","Standard price")</f>
        <v>High Price</v>
      </c>
      <c r="N26" s="6" t="str">
        <f>LEFT(Dataset_1[Product ID],"2")</f>
        <v>29</v>
      </c>
      <c r="O26" s="6" t="str">
        <f>RIGHT(Dataset_1[Product ID],"2")</f>
        <v>CA</v>
      </c>
      <c r="P26" s="6" t="str">
        <f>MID(Dataset_1[Product ID],4,3)</f>
        <v>SEP</v>
      </c>
    </row>
    <row r="27" spans="1:16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  <c r="L27" s="6" t="str">
        <f>IF(Dataset_1[Price ($)]&gt;=500,"High Price","Standard price")</f>
        <v>Standard price</v>
      </c>
      <c r="N27" s="6" t="str">
        <f>LEFT(Dataset_1[Product ID],"2")</f>
        <v>03</v>
      </c>
      <c r="O27" s="6" t="str">
        <f>RIGHT(Dataset_1[Product ID],"2")</f>
        <v>CA</v>
      </c>
      <c r="P27" s="6" t="str">
        <f>MID(Dataset_1[Product ID],4,3)</f>
        <v>JUN</v>
      </c>
    </row>
    <row r="28" spans="1:16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  <c r="L28" s="6" t="str">
        <f>IF(Dataset_1[Price ($)]&gt;=500,"High Price","Standard price")</f>
        <v>Standard price</v>
      </c>
      <c r="N28" s="6" t="str">
        <f>LEFT(Dataset_1[Product ID],"2")</f>
        <v>11</v>
      </c>
      <c r="O28" s="6" t="str">
        <f>RIGHT(Dataset_1[Product ID],"2")</f>
        <v>CA</v>
      </c>
      <c r="P28" s="6" t="str">
        <f>MID(Dataset_1[Product ID],4,3)</f>
        <v>JUL</v>
      </c>
    </row>
    <row r="29" spans="1:16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  <c r="L29" s="6" t="str">
        <f>IF(Dataset_1[Price ($)]&gt;=500,"High Price","Standard price")</f>
        <v>Standard price</v>
      </c>
      <c r="N29" s="6" t="str">
        <f>LEFT(Dataset_1[Product ID],"2")</f>
        <v>16</v>
      </c>
      <c r="O29" s="6" t="str">
        <f>RIGHT(Dataset_1[Product ID],"2")</f>
        <v>ES</v>
      </c>
      <c r="P29" s="6" t="str">
        <f>MID(Dataset_1[Product ID],4,3)</f>
        <v>APR</v>
      </c>
    </row>
    <row r="30" spans="1:16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  <c r="L30" s="6" t="str">
        <f>IF(Dataset_1[Price ($)]&gt;=500,"High Price","Standard price")</f>
        <v>Standard price</v>
      </c>
      <c r="N30" s="6" t="str">
        <f>LEFT(Dataset_1[Product ID],"2")</f>
        <v>07</v>
      </c>
      <c r="O30" s="6" t="str">
        <f>RIGHT(Dataset_1[Product ID],"2")</f>
        <v>CA</v>
      </c>
      <c r="P30" s="6" t="str">
        <f>MID(Dataset_1[Product ID],4,3)</f>
        <v>MAR</v>
      </c>
    </row>
    <row r="31" spans="1:16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  <c r="L31" s="6" t="str">
        <f>IF(Dataset_1[Price ($)]&gt;=500,"High Price","Standard price")</f>
        <v>Standard price</v>
      </c>
      <c r="N31" s="6" t="str">
        <f>LEFT(Dataset_1[Product ID],"2")</f>
        <v>13</v>
      </c>
      <c r="O31" s="6" t="str">
        <f>RIGHT(Dataset_1[Product ID],"2")</f>
        <v>CA</v>
      </c>
      <c r="P31" s="6" t="str">
        <f>MID(Dataset_1[Product ID],4,3)</f>
        <v>APR</v>
      </c>
    </row>
    <row r="32" spans="1:16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  <c r="L32" s="6" t="str">
        <f>IF(Dataset_1[Price ($)]&gt;=500,"High Price","Standard price")</f>
        <v>Standard price</v>
      </c>
      <c r="N32" s="6" t="str">
        <f>LEFT(Dataset_1[Product ID],"2")</f>
        <v>24</v>
      </c>
      <c r="O32" s="6" t="str">
        <f>RIGHT(Dataset_1[Product ID],"2")</f>
        <v>CA</v>
      </c>
      <c r="P32" s="6" t="str">
        <f>MID(Dataset_1[Product ID],4,3)</f>
        <v>MAY</v>
      </c>
    </row>
    <row r="33" spans="1:16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  <c r="L33" s="6" t="str">
        <f>IF(Dataset_1[Price ($)]&gt;=500,"High Price","Standard price")</f>
        <v>Standard price</v>
      </c>
      <c r="N33" s="6" t="str">
        <f>LEFT(Dataset_1[Product ID],"2")</f>
        <v>02</v>
      </c>
      <c r="O33" s="6" t="str">
        <f>RIGHT(Dataset_1[Product ID],"2")</f>
        <v>CA</v>
      </c>
      <c r="P33" s="6" t="str">
        <f>MID(Dataset_1[Product ID],4,3)</f>
        <v>DEC</v>
      </c>
    </row>
    <row r="34" spans="1:16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  <c r="L34" s="6" t="str">
        <f>IF(Dataset_1[Price ($)]&gt;=500,"High Price","Standard price")</f>
        <v>High Price</v>
      </c>
      <c r="N34" s="6" t="str">
        <f>LEFT(Dataset_1[Product ID],"2")</f>
        <v>17</v>
      </c>
      <c r="O34" s="6" t="str">
        <f>RIGHT(Dataset_1[Product ID],"2")</f>
        <v>IN</v>
      </c>
      <c r="P34" s="6" t="str">
        <f>MID(Dataset_1[Product ID],4,3)</f>
        <v>JUN</v>
      </c>
    </row>
    <row r="35" spans="1:16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  <c r="L35" s="6" t="str">
        <f>IF(Dataset_1[Price ($)]&gt;=500,"High Price","Standard price")</f>
        <v>Standard price</v>
      </c>
      <c r="N35" s="6" t="str">
        <f>LEFT(Dataset_1[Product ID],"2")</f>
        <v>09</v>
      </c>
      <c r="O35" s="6" t="str">
        <f>RIGHT(Dataset_1[Product ID],"2")</f>
        <v>FR</v>
      </c>
      <c r="P35" s="6" t="str">
        <f>MID(Dataset_1[Product ID],4,3)</f>
        <v>JUL</v>
      </c>
    </row>
    <row r="36" spans="1:16" ht="15.75" customHeight="1" x14ac:dyDescent="0.25"/>
    <row r="37" spans="1:16" ht="15.75" customHeight="1" x14ac:dyDescent="0.25"/>
    <row r="38" spans="1:16" ht="15.75" customHeight="1" x14ac:dyDescent="0.25"/>
    <row r="39" spans="1:16" ht="15.75" customHeight="1" x14ac:dyDescent="0.25"/>
    <row r="40" spans="1:16" ht="15.75" customHeight="1" x14ac:dyDescent="0.25"/>
    <row r="41" spans="1:16" ht="15.75" customHeight="1" x14ac:dyDescent="0.25"/>
    <row r="42" spans="1:16" ht="15.75" customHeight="1" x14ac:dyDescent="0.25"/>
    <row r="43" spans="1:16" ht="15.75" customHeight="1" x14ac:dyDescent="0.25"/>
    <row r="44" spans="1:16" ht="15.75" customHeight="1" x14ac:dyDescent="0.25"/>
    <row r="45" spans="1:16" ht="15.75" customHeight="1" x14ac:dyDescent="0.25"/>
    <row r="46" spans="1:16" ht="15.75" customHeight="1" x14ac:dyDescent="0.25"/>
    <row r="47" spans="1:16" ht="15.75" customHeight="1" x14ac:dyDescent="0.25"/>
    <row r="48" spans="1:1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2026-06-02T04:00:43Z</dcterms:created>
  <dcterms:modified xsi:type="dcterms:W3CDTF">2026-06-02T04:00:55Z</dcterms:modified>
</cp:coreProperties>
</file>